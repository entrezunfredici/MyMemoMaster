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<sst xmlns="http://schemas.openxmlformats.org/spreadsheetml/2006/main" count="35" uniqueCount="35">
  <si>
    <t>Couts</t>
  </si>
  <si>
    <t xml:space="preserve">couts utilisateurs</t>
  </si>
  <si>
    <t xml:space="preserve">prix abonnement</t>
  </si>
  <si>
    <t xml:space="preserve">conso serveur</t>
  </si>
  <si>
    <t xml:space="preserve">taux (€/unit)</t>
  </si>
  <si>
    <t xml:space="preserve">pour 100 etudiants (unit)</t>
  </si>
  <si>
    <t xml:space="preserve">cout pour 100 etudiants (€/unit)</t>
  </si>
  <si>
    <t>modération</t>
  </si>
  <si>
    <t xml:space="preserve">temps (heure)</t>
  </si>
  <si>
    <t xml:space="preserve">cout (€)</t>
  </si>
  <si>
    <t xml:space="preserve">nombre de signalements</t>
  </si>
  <si>
    <t xml:space="preserve">temps de traitement (heures)</t>
  </si>
  <si>
    <t xml:space="preserve">CPU (core)</t>
  </si>
  <si>
    <t>taux</t>
  </si>
  <si>
    <t xml:space="preserve">conso IA</t>
  </si>
  <si>
    <t xml:space="preserve">RAM (go)</t>
  </si>
  <si>
    <t xml:space="preserve">utilisateurs (mensuel)</t>
  </si>
  <si>
    <t xml:space="preserve">stockage (go)</t>
  </si>
  <si>
    <t xml:space="preserve">100 utilisateurs (mensuel)</t>
  </si>
  <si>
    <t>marge</t>
  </si>
  <si>
    <t>total</t>
  </si>
  <si>
    <t>setup</t>
  </si>
  <si>
    <t xml:space="preserve">temps (annuel)</t>
  </si>
  <si>
    <t xml:space="preserve">cout (mensuel)</t>
  </si>
  <si>
    <t xml:space="preserve">stats requetes pour 100 etudiants</t>
  </si>
  <si>
    <t xml:space="preserve">Fréquence  (hz)</t>
  </si>
  <si>
    <t xml:space="preserve">temps CPU (s)</t>
  </si>
  <si>
    <t xml:space="preserve">verif etablissement</t>
  </si>
  <si>
    <t>mindmap</t>
  </si>
  <si>
    <t xml:space="preserve">leitner system</t>
  </si>
  <si>
    <t>connections</t>
  </si>
  <si>
    <t xml:space="preserve">stats requêtes</t>
  </si>
  <si>
    <t xml:space="preserve">w (s)</t>
  </si>
  <si>
    <t>gio</t>
  </si>
  <si>
    <t>mindmaps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</si>
</sst>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"/>
        <bgColor theme="1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2" borderId="0" numFmtId="0" xfId="0" applyFill="1"/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9.57421875"/>
    <col customWidth="1" min="2" max="2" width="22.421875"/>
    <col customWidth="1" min="3" max="3" width="18.28125"/>
    <col customWidth="1" min="5" max="5" width="30.28125"/>
    <col customWidth="1" min="6" max="6" width="33.57421875"/>
    <col customWidth="1" min="7" max="7" width="23.140625"/>
    <col customWidth="1" min="8" max="8" width="32.28125"/>
    <col customWidth="1" min="9" max="9" width="17.00390625"/>
    <col customWidth="1" min="10" max="10" width="22.57421875"/>
    <col customWidth="1" min="11" max="12" width="14.00390625"/>
    <col customWidth="1" min="13" max="13" width="24.140625"/>
    <col customWidth="1" min="14" max="14" width="30.00390625"/>
    <col customWidth="1" min="15" max="15" width="25.140625"/>
  </cols>
  <sheetData>
    <row r="1" ht="14.25">
      <c r="A1" t="s">
        <v>0</v>
      </c>
      <c r="B1" t="s">
        <v>1</v>
      </c>
      <c r="C1" t="s">
        <v>2</v>
      </c>
      <c r="D1" s="1"/>
      <c r="E1" t="s">
        <v>3</v>
      </c>
      <c r="F1" t="s">
        <v>4</v>
      </c>
      <c r="G1" t="s">
        <v>5</v>
      </c>
      <c r="H1" t="s">
        <v>6</v>
      </c>
      <c r="I1" s="2"/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ht="14.25">
      <c r="A2" t="s">
        <v>3</v>
      </c>
      <c r="B2">
        <f>H5/100</f>
        <v>0.035367421874999999</v>
      </c>
      <c r="C2">
        <f>B2*2</f>
        <v>0.070734843749999998</v>
      </c>
      <c r="D2" s="1"/>
      <c r="E2" t="s">
        <v>12</v>
      </c>
      <c r="F2">
        <v>1.5625</v>
      </c>
      <c r="G2">
        <f>((F8*G8)+(F9*G9)+(F10*G10))</f>
        <v>0.65000000000000013</v>
      </c>
      <c r="H2">
        <f t="shared" ref="H2:H4" si="0">F2*G2</f>
        <v>1.0156250000000002</v>
      </c>
      <c r="I2" s="2"/>
      <c r="J2" t="s">
        <v>13</v>
      </c>
      <c r="K2">
        <v>1</v>
      </c>
      <c r="L2">
        <v>30</v>
      </c>
    </row>
    <row r="3" ht="14.25">
      <c r="A3" t="s">
        <v>14</v>
      </c>
      <c r="B3">
        <v>1</v>
      </c>
      <c r="C3">
        <f t="shared" ref="C3:C4" si="1">B3*2</f>
        <v>2</v>
      </c>
      <c r="D3" s="1"/>
      <c r="E3" t="s">
        <v>15</v>
      </c>
      <c r="F3">
        <v>0.53000000000000003</v>
      </c>
      <c r="G3">
        <f>((F12*G12)+(F13*G13)+(F14*G14))</f>
        <v>0.039843749999999997</v>
      </c>
      <c r="H3">
        <f t="shared" si="0"/>
        <v>0.021117187499999999</v>
      </c>
      <c r="J3" t="s">
        <v>16</v>
      </c>
      <c r="K3">
        <f>K4/100</f>
        <v>0.025000000000000001</v>
      </c>
      <c r="L3">
        <f>(L2*K3)/K2</f>
        <v>0.75</v>
      </c>
    </row>
    <row r="4" ht="14.25">
      <c r="A4" t="s">
        <v>7</v>
      </c>
      <c r="B4">
        <f>L3</f>
        <v>0.75</v>
      </c>
      <c r="C4">
        <f t="shared" si="1"/>
        <v>1.5</v>
      </c>
      <c r="D4" s="1"/>
      <c r="E4" t="s">
        <v>17</v>
      </c>
      <c r="F4">
        <v>0.050000000000000003</v>
      </c>
      <c r="G4">
        <v>50</v>
      </c>
      <c r="H4">
        <f t="shared" si="0"/>
        <v>2.5</v>
      </c>
      <c r="J4" t="s">
        <v>18</v>
      </c>
      <c r="K4">
        <f>(N4*M4)</f>
        <v>2.5</v>
      </c>
      <c r="L4">
        <f>(L2*K4)/K2</f>
        <v>75</v>
      </c>
      <c r="M4">
        <v>50</v>
      </c>
      <c r="N4">
        <f>3/60</f>
        <v>0.050000000000000003</v>
      </c>
    </row>
    <row r="5" ht="14.25">
      <c r="A5" t="s">
        <v>19</v>
      </c>
      <c r="B5">
        <v>0</v>
      </c>
      <c r="C5">
        <f>(SUM(C2:C4)*0.5)</f>
        <v>1.785367421875</v>
      </c>
      <c r="D5" s="1"/>
      <c r="E5" t="s">
        <v>20</v>
      </c>
      <c r="H5">
        <f>SUM(H2:H4)</f>
        <v>3.5367421875000002</v>
      </c>
    </row>
    <row r="6" ht="14.25">
      <c r="A6" t="s">
        <v>20</v>
      </c>
      <c r="B6">
        <f>SUM(B2:B5)</f>
        <v>1.785367421875</v>
      </c>
      <c r="C6">
        <f>SUM(C2:C5)</f>
        <v>5.3561022656250001</v>
      </c>
      <c r="D6" s="1"/>
      <c r="E6" s="1"/>
      <c r="F6" s="1"/>
      <c r="G6" s="1"/>
      <c r="H6" s="1"/>
      <c r="J6" t="s">
        <v>21</v>
      </c>
      <c r="K6" t="s">
        <v>22</v>
      </c>
      <c r="L6" t="s">
        <v>23</v>
      </c>
    </row>
    <row r="7" ht="14.25">
      <c r="B7" s="3"/>
      <c r="C7" s="3"/>
      <c r="D7" s="1"/>
      <c r="E7" t="s">
        <v>24</v>
      </c>
      <c r="F7" t="s">
        <v>25</v>
      </c>
      <c r="G7" t="s">
        <v>26</v>
      </c>
      <c r="J7" t="s">
        <v>27</v>
      </c>
      <c r="K7">
        <v>2</v>
      </c>
      <c r="L7">
        <f>(K7*L2)/12</f>
        <v>5</v>
      </c>
    </row>
    <row r="8" ht="14.25">
      <c r="A8" s="3"/>
      <c r="B8" s="3"/>
      <c r="C8" s="3"/>
      <c r="D8" s="1"/>
      <c r="E8" t="s">
        <v>28</v>
      </c>
      <c r="F8">
        <v>20</v>
      </c>
      <c r="G8">
        <f>20/1000</f>
        <v>0.02</v>
      </c>
    </row>
    <row r="9" ht="14.25">
      <c r="A9" s="3"/>
      <c r="B9" s="3"/>
      <c r="C9" s="3"/>
      <c r="D9" s="1"/>
      <c r="E9" t="s">
        <v>29</v>
      </c>
      <c r="F9">
        <v>20</v>
      </c>
      <c r="G9">
        <f t="shared" ref="G9:G10" si="2">10/1000</f>
        <v>0.01</v>
      </c>
    </row>
    <row r="10" ht="14.25">
      <c r="D10" s="1"/>
      <c r="E10" t="s">
        <v>30</v>
      </c>
      <c r="F10">
        <v>5</v>
      </c>
      <c r="G10">
        <f t="shared" si="2"/>
        <v>0.01</v>
      </c>
    </row>
    <row r="11" ht="14.25">
      <c r="D11" s="1"/>
      <c r="E11" t="s">
        <v>31</v>
      </c>
      <c r="F11" t="s">
        <v>32</v>
      </c>
      <c r="G11" t="s">
        <v>33</v>
      </c>
    </row>
    <row r="12" ht="14.25">
      <c r="D12" s="1"/>
      <c r="E12" t="s">
        <v>34</v>
      </c>
      <c r="F12">
        <v>0.29999999999999999</v>
      </c>
      <c r="G12">
        <f>(2/1024)</f>
        <v>0.001953125</v>
      </c>
    </row>
    <row r="13" ht="14.25">
      <c r="D13" s="1"/>
      <c r="E13" t="s">
        <v>29</v>
      </c>
      <c r="F13">
        <v>0.20000000000000001</v>
      </c>
      <c r="G13">
        <f>(1/1024)</f>
        <v>0.0009765625</v>
      </c>
    </row>
    <row r="14" ht="14.25">
      <c r="D14" s="1"/>
      <c r="E14" t="s">
        <v>30</v>
      </c>
      <c r="F14">
        <v>0.20000000000000001</v>
      </c>
      <c r="G14">
        <f>(200/1024)</f>
        <v>0.1953125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Frederic Macabiau</cp:lastModifiedBy>
  <cp:revision>8</cp:revision>
  <dcterms:modified xsi:type="dcterms:W3CDTF">2026-02-15T09:11:01Z</dcterms:modified>
</cp:coreProperties>
</file>